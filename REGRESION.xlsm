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6F7F187F-6E79-4176-A3C2-9FC05C3676CD}" xr6:coauthVersionLast="47" xr6:coauthVersionMax="47" xr10:uidLastSave="{00000000-0000-0000-0000-000000000000}"/>
  <bookViews>
    <workbookView xWindow="-108" yWindow="-108" windowWidth="23256" windowHeight="12456" activeTab="3" xr2:uid="{725E5921-CFED-4C03-A78B-3BDA056041B0}"/>
  </bookViews>
  <sheets>
    <sheet name="DATOS" sheetId="1" r:id="rId1"/>
    <sheet name="PENDIENTE" sheetId="2" r:id="rId2"/>
    <sheet name="INTERCEPTO" sheetId="3" r:id="rId3"/>
    <sheet name="RL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5" l="1"/>
  <c r="C11" i="3"/>
  <c r="C8" i="2"/>
  <c r="C7" i="2"/>
  <c r="C9" i="3"/>
  <c r="C7" i="3"/>
  <c r="H5" i="1"/>
  <c r="G5" i="1"/>
  <c r="F5" i="3" s="1"/>
  <c r="E4" i="1"/>
  <c r="E5" i="1"/>
  <c r="E10" i="1" s="1"/>
  <c r="E6" i="1"/>
  <c r="E7" i="1"/>
  <c r="E8" i="1"/>
  <c r="E9" i="1"/>
  <c r="D4" i="1"/>
  <c r="D5" i="1"/>
  <c r="D6" i="1"/>
  <c r="D7" i="1"/>
  <c r="D8" i="1"/>
  <c r="D9" i="1"/>
  <c r="I2" i="1"/>
  <c r="H2" i="1"/>
  <c r="G2" i="1"/>
  <c r="G5" i="3"/>
  <c r="G2" i="2"/>
  <c r="F2" i="2"/>
  <c r="D10" i="1"/>
  <c r="J2" i="1" s="1"/>
  <c r="C10" i="1"/>
  <c r="A10" i="1"/>
  <c r="B10" i="1"/>
  <c r="K2" i="1" l="1"/>
  <c r="J2" i="2" s="1"/>
  <c r="I2" i="2"/>
  <c r="C10" i="2" l="1"/>
  <c r="C8" i="3" s="1"/>
  <c r="C8" i="5" l="1"/>
  <c r="C7" i="5"/>
</calcChain>
</file>

<file path=xl/sharedStrings.xml><?xml version="1.0" encoding="utf-8"?>
<sst xmlns="http://schemas.openxmlformats.org/spreadsheetml/2006/main" count="23" uniqueCount="23">
  <si>
    <t>Edad(x)</t>
  </si>
  <si>
    <t>Estancia(Y)</t>
  </si>
  <si>
    <t>Datos del Problema</t>
  </si>
  <si>
    <t>#</t>
  </si>
  <si>
    <r>
      <t>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* Y</t>
    </r>
    <r>
      <rPr>
        <vertAlign val="subscript"/>
        <sz val="11"/>
        <color theme="1"/>
        <rFont val="Calibri"/>
        <family val="2"/>
        <scheme val="minor"/>
      </rPr>
      <t>i</t>
    </r>
  </si>
  <si>
    <r>
      <t>X</t>
    </r>
    <r>
      <rPr>
        <vertAlign val="superscript"/>
        <sz val="11"/>
        <color theme="1"/>
        <rFont val="Calibri"/>
        <family val="2"/>
        <scheme val="minor"/>
      </rPr>
      <t>2</t>
    </r>
  </si>
  <si>
    <t>Calcular la Pendiente (b)</t>
  </si>
  <si>
    <t>b =</t>
  </si>
  <si>
    <t>Num</t>
  </si>
  <si>
    <t>Den</t>
  </si>
  <si>
    <t>Calcular el Intercepto (a)</t>
  </si>
  <si>
    <t>ӯ</t>
  </si>
  <si>
    <t>b</t>
  </si>
  <si>
    <t>a =</t>
  </si>
  <si>
    <t></t>
  </si>
  <si>
    <r>
      <t xml:space="preserve">a = ӯ - b * </t>
    </r>
    <r>
      <rPr>
        <sz val="14"/>
        <color theme="1"/>
        <rFont val="MS Reference Sans Serif"/>
        <family val="2"/>
      </rPr>
      <t></t>
    </r>
  </si>
  <si>
    <t>REGRESIÓN LINEAL SIMPLE</t>
  </si>
  <si>
    <t>Pendiente b</t>
  </si>
  <si>
    <t>Intercepto a</t>
  </si>
  <si>
    <t>Edad x</t>
  </si>
  <si>
    <t>ŷ =</t>
  </si>
  <si>
    <r>
      <rPr>
        <b/>
        <sz val="16"/>
        <color theme="1"/>
        <rFont val="MS Reference Sans Serif"/>
        <family val="2"/>
      </rPr>
      <t>ŷ</t>
    </r>
    <r>
      <rPr>
        <b/>
        <sz val="20.9"/>
        <color theme="1"/>
        <rFont val="Calibri"/>
        <family val="2"/>
      </rPr>
      <t xml:space="preserve"> = b * x + a</t>
    </r>
  </si>
  <si>
    <r>
      <rPr>
        <b/>
        <sz val="14"/>
        <color theme="1"/>
        <rFont val="MS Reference Sans Serif"/>
        <family val="2"/>
      </rPr>
      <t>ŷ</t>
    </r>
    <r>
      <rPr>
        <b/>
        <sz val="26.6"/>
        <color theme="1"/>
        <rFont val="Calibri"/>
        <family val="2"/>
      </rPr>
      <t xml:space="preserve"> </t>
    </r>
    <r>
      <rPr>
        <b/>
        <sz val="14"/>
        <color theme="1"/>
        <rFont val="Calibri"/>
        <family val="2"/>
      </rPr>
      <t>= 0,14 * 33 + 1,07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</si>
</sst>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MS Reference Sans Serif"/>
      <family val="2"/>
    </font>
    <font>
      <sz val="14"/>
      <color theme="1"/>
      <name val="MS Reference Sans Serif"/>
      <family val="2"/>
    </font>
    <font>
      <b/>
      <sz val="14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theme="1"/>
      <name val="MS Reference Sans Serif"/>
      <family val="2"/>
    </font>
    <font>
      <b/>
      <sz val="26.6"/>
      <color theme="1"/>
      <name val="Calibri"/>
      <family val="2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MS Reference Sans Serif"/>
      <family val="2"/>
    </font>
    <font>
      <b/>
      <sz val="20.9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theme="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7" borderId="1" xfId="0" applyFill="1" applyBorder="1"/>
    <xf numFmtId="0" fontId="7" fillId="0" borderId="0" xfId="0" applyFont="1"/>
    <xf numFmtId="3" fontId="1" fillId="5" borderId="1" xfId="0" applyNumberFormat="1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left"/>
    </xf>
    <xf numFmtId="1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2" fontId="11" fillId="9" borderId="1" xfId="0" applyNumberFormat="1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" fontId="11" fillId="9" borderId="10" xfId="0" applyNumberFormat="1" applyFont="1" applyFill="1" applyBorder="1" applyAlignment="1">
      <alignment horizontal="center" vertical="center"/>
    </xf>
    <xf numFmtId="2" fontId="11" fillId="9" borderId="1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1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142790</xdr:colOff>
      <xdr:row>0</xdr:row>
      <xdr:rowOff>1998</xdr:rowOff>
    </xdr:from>
    <xdr:ext cx="2112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4257590" y="1998"/>
              <a:ext cx="2112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∑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4477EDE-5903-49F3-9BC4-7D501996DFEB}"/>
                </a:ext>
              </a:extLst>
            </xdr:cNvPr>
            <xdr:cNvSpPr txBox="1"/>
          </xdr:nvSpPr>
          <xdr:spPr>
            <a:xfrm>
              <a:off x="4257590" y="1998"/>
              <a:ext cx="2112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7</xdr:col>
      <xdr:colOff>114307</xdr:colOff>
      <xdr:row>0</xdr:row>
      <xdr:rowOff>1998</xdr:rowOff>
    </xdr:from>
    <xdr:ext cx="2132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762507" y="1998"/>
              <a:ext cx="2132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∑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DD779517-0C78-44EE-801B-ABE92D60BFB4}"/>
                </a:ext>
              </a:extLst>
            </xdr:cNvPr>
            <xdr:cNvSpPr txBox="1"/>
          </xdr:nvSpPr>
          <xdr:spPr>
            <a:xfrm>
              <a:off x="4762507" y="1998"/>
              <a:ext cx="2132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184084</xdr:colOff>
      <xdr:row>0</xdr:row>
      <xdr:rowOff>26070</xdr:rowOff>
    </xdr:from>
    <xdr:ext cx="1738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365684" y="26070"/>
              <a:ext cx="1738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𝒩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5AC3B22A-1C08-490A-AAD1-C68B88F699C6}"/>
                </a:ext>
              </a:extLst>
            </xdr:cNvPr>
            <xdr:cNvSpPr txBox="1"/>
          </xdr:nvSpPr>
          <xdr:spPr>
            <a:xfrm>
              <a:off x="5365684" y="26070"/>
              <a:ext cx="1738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𝒩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282748</xdr:colOff>
      <xdr:row>0</xdr:row>
      <xdr:rowOff>1998</xdr:rowOff>
    </xdr:from>
    <xdr:ext cx="65" cy="172227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397548" y="199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6420</xdr:colOff>
      <xdr:row>0</xdr:row>
      <xdr:rowOff>1998</xdr:rowOff>
    </xdr:from>
    <xdr:ext cx="53700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5721420" y="1998"/>
              <a:ext cx="5370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∑</m:t>
                    </m:r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𝑋𝑖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∗</m:t>
                    </m:r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𝑌𝑖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96DA4A80-8C65-498A-81C3-0981EFDDC768}"/>
                </a:ext>
              </a:extLst>
            </xdr:cNvPr>
            <xdr:cNvSpPr txBox="1"/>
          </xdr:nvSpPr>
          <xdr:spPr>
            <a:xfrm>
              <a:off x="5721420" y="1998"/>
              <a:ext cx="5370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∑𝑋𝑖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𝑌𝑖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80216</xdr:colOff>
      <xdr:row>0</xdr:row>
      <xdr:rowOff>0</xdr:rowOff>
    </xdr:from>
    <xdr:ext cx="304800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6328616" y="0"/>
              <a:ext cx="30480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∑</m:t>
                        </m:r>
                        <m:r>
                          <a:rPr lang="es-CO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866C16F-D0AE-4A22-8315-06CF5179313F}"/>
                </a:ext>
              </a:extLst>
            </xdr:cNvPr>
            <xdr:cNvSpPr txBox="1"/>
          </xdr:nvSpPr>
          <xdr:spPr>
            <a:xfrm>
              <a:off x="6328616" y="0"/>
              <a:ext cx="30480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〖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CO" sz="1100" i="0">
                  <a:latin typeface="Cambria Math" panose="02040503050406030204" pitchFamily="18" charset="0"/>
                </a:rPr>
                <a:t>𝑥〗^2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98669</xdr:colOff>
      <xdr:row>3</xdr:row>
      <xdr:rowOff>1998</xdr:rowOff>
    </xdr:from>
    <xdr:ext cx="3758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4213469" y="583524"/>
              <a:ext cx="3758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∑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</m:oMath>
              </a14:m>
              <a:r>
                <a:rPr lang="es-CO" sz="1100"/>
                <a:t>/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</m:oMath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FE7798DF-8A72-46F7-9F76-5A166B544A20}"/>
                </a:ext>
              </a:extLst>
            </xdr:cNvPr>
            <xdr:cNvSpPr txBox="1"/>
          </xdr:nvSpPr>
          <xdr:spPr>
            <a:xfrm>
              <a:off x="4213469" y="583524"/>
              <a:ext cx="3758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/>
                <a:t>/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𝒩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7</xdr:col>
      <xdr:colOff>74197</xdr:colOff>
      <xdr:row>3</xdr:row>
      <xdr:rowOff>1998</xdr:rowOff>
    </xdr:from>
    <xdr:ext cx="377796" cy="174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4722397" y="583524"/>
              <a:ext cx="377796" cy="174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s-CO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∑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𝑦</m:t>
                  </m:r>
                </m:oMath>
              </a14:m>
              <a:r>
                <a:rPr lang="es-CO" sz="1100"/>
                <a:t>/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</m:oMath>
              </a14:m>
              <a:endParaRPr lang="es-CO">
                <a:effectLst/>
              </a:endParaRPr>
            </a:p>
            <a:p>
              <a:endParaRPr lang="es-CO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5C8CB83B-90D1-443B-A21A-EA0FBD965F01}"/>
                </a:ext>
              </a:extLst>
            </xdr:cNvPr>
            <xdr:cNvSpPr txBox="1"/>
          </xdr:nvSpPr>
          <xdr:spPr>
            <a:xfrm>
              <a:off x="4722397" y="583524"/>
              <a:ext cx="377796" cy="174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/>
                <a:t>/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𝒩</a:t>
              </a:r>
              <a:endParaRPr lang="es-CO">
                <a:effectLst/>
              </a:endParaRPr>
            </a:p>
            <a:p>
              <a:pPr/>
              <a:endParaRPr lang="es-CO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3</xdr:row>
          <xdr:rowOff>15240</xdr:rowOff>
        </xdr:from>
        <xdr:to>
          <xdr:col>10</xdr:col>
          <xdr:colOff>525780</xdr:colOff>
          <xdr:row>5</xdr:row>
          <xdr:rowOff>7620</xdr:rowOff>
        </xdr:to>
        <xdr:sp macro="" textlink="">
          <xdr:nvSpPr>
            <xdr:cNvPr id="1026" name="btnClearCell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21797</xdr:colOff>
      <xdr:row>6</xdr:row>
      <xdr:rowOff>3625</xdr:rowOff>
    </xdr:from>
    <xdr:ext cx="2623410" cy="968983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128977" y="1131385"/>
          <a:ext cx="2623410" cy="96898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28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Regresión</a:t>
          </a:r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Lineal</a:t>
          </a:r>
        </a:p>
        <a:p>
          <a:pPr algn="ctr"/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outerShdw dist="38100" dir="2640000" algn="bl" rotWithShape="0">
                  <a:schemeClr val="accent1"/>
                </a:outerShdw>
              </a:effectLst>
            </a:rPr>
            <a:t>Simple</a:t>
          </a:r>
          <a:endParaRPr lang="es-ES" sz="2800" b="1" cap="none" spc="0">
            <a:ln w="12700">
              <a:solidFill>
                <a:schemeClr val="accent1"/>
              </a:solidFill>
              <a:prstDash val="solid"/>
            </a:ln>
            <a:solidFill>
              <a:srgbClr val="FF0000"/>
            </a:solid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328863</xdr:colOff>
      <xdr:row>3</xdr:row>
      <xdr:rowOff>14707</xdr:rowOff>
    </xdr:from>
    <xdr:ext cx="15681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894347" y="568160"/>
              <a:ext cx="15681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s-CO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𝒩</m:t>
                  </m:r>
                </m:oMath>
              </a14:m>
              <a:r>
                <a:rPr lang="es-CO" sz="1100"/>
                <a:t> * 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∑</m:t>
                  </m:r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𝑋𝑖</m:t>
                  </m:r>
                  <m:r>
                    <a:rPr lang="es-E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𝑌𝑖</m:t>
                  </m:r>
                </m:oMath>
              </a14:m>
              <a:r>
                <a:rPr lang="es-CO">
                  <a:effectLst/>
                </a:rPr>
                <a:t> - 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∑</m:t>
                  </m:r>
                  <m:r>
                    <a:rPr lang="es-CO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𝑥</m:t>
                  </m:r>
                </m:oMath>
              </a14:m>
              <a:r>
                <a:rPr lang="es-CO">
                  <a:effectLst/>
                </a:rPr>
                <a:t> * 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∑</m:t>
                  </m:r>
                  <m:r>
                    <a:rPr lang="es-E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𝑦</m:t>
                  </m:r>
                </m:oMath>
              </a14:m>
              <a:endParaRPr lang="es-CO">
                <a:effectLst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3863F507-BD1F-44F4-AE33-1962FF8A84A0}"/>
                </a:ext>
              </a:extLst>
            </xdr:cNvPr>
            <xdr:cNvSpPr txBox="1"/>
          </xdr:nvSpPr>
          <xdr:spPr>
            <a:xfrm>
              <a:off x="894347" y="568160"/>
              <a:ext cx="15681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𝒩</a:t>
              </a:r>
              <a:r>
                <a:rPr lang="es-CO" sz="1100"/>
                <a:t> *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∑𝑋𝑖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𝑌𝑖</a:t>
              </a:r>
              <a:r>
                <a:rPr lang="es-CO">
                  <a:effectLst/>
                </a:rPr>
                <a:t> -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s-CO">
                  <a:effectLst/>
                </a:rPr>
                <a:t> *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endParaRPr lang="es-CO">
                <a:effectLst/>
              </a:endParaRPr>
            </a:p>
          </xdr:txBody>
        </xdr:sp>
      </mc:Fallback>
    </mc:AlternateContent>
    <xdr:clientData/>
  </xdr:oneCellAnchor>
  <xdr:oneCellAnchor>
    <xdr:from>
      <xdr:col>1</xdr:col>
      <xdr:colOff>316992</xdr:colOff>
      <xdr:row>4</xdr:row>
      <xdr:rowOff>0</xdr:rowOff>
    </xdr:from>
    <xdr:ext cx="1399032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40536" y="740664"/>
              <a:ext cx="1399032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s-E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      </m:t>
                  </m:r>
                  <m:r>
                    <a:rPr lang="es-CO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𝒩</m:t>
                  </m:r>
                  <m:r>
                    <a:rPr lang="es-E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∗</m:t>
                  </m:r>
                  <m:sSup>
                    <m:sSup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∑</m:t>
                      </m:r>
                      <m: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p>
                      <m: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es-CO" sz="1100"/>
                <a:t> - (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r>
                        <a:rPr lang="es-ES" sz="11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</m:nary>
                </m:oMath>
              </a14:m>
              <a:r>
                <a:rPr lang="es-CO" sz="1100"/>
                <a:t>)</a:t>
              </a:r>
              <a:r>
                <a:rPr lang="es-CO" sz="1100" baseline="30000"/>
                <a:t>2</a:t>
              </a: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C23AD6A-7564-4C8D-8C9A-0119CD7501E7}"/>
                </a:ext>
              </a:extLst>
            </xdr:cNvPr>
            <xdr:cNvSpPr txBox="1"/>
          </xdr:nvSpPr>
          <xdr:spPr>
            <a:xfrm>
              <a:off x="1240536" y="740664"/>
              <a:ext cx="1399032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   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𝒩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∗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〖∑𝑥〗^2</a:t>
              </a:r>
              <a:r>
                <a:rPr lang="es-CO" sz="1100"/>
                <a:t> - (</a:t>
              </a:r>
              <a:r>
                <a:rPr lang="es-CO" sz="1100" i="0">
                  <a:latin typeface="Cambria Math" panose="02040503050406030204" pitchFamily="18" charset="0"/>
                </a:rPr>
                <a:t>∑▒</a:t>
              </a:r>
              <a:r>
                <a:rPr lang="es-ES" sz="1100" b="0" i="0">
                  <a:latin typeface="Cambria Math" panose="02040503050406030204" pitchFamily="18" charset="0"/>
                </a:rPr>
                <a:t>𝑥</a:t>
              </a:r>
              <a:r>
                <a:rPr lang="es-CO" sz="1100"/>
                <a:t>)</a:t>
              </a:r>
              <a:r>
                <a:rPr lang="es-CO" sz="1100" baseline="30000"/>
                <a:t>2</a:t>
              </a:r>
            </a:p>
          </xdr:txBody>
        </xdr:sp>
      </mc:Fallback>
    </mc:AlternateContent>
    <xdr:clientData/>
  </xdr:oneCellAnchor>
  <xdr:oneCellAnchor>
    <xdr:from>
      <xdr:col>0</xdr:col>
      <xdr:colOff>307270</xdr:colOff>
      <xdr:row>3</xdr:row>
      <xdr:rowOff>97938</xdr:rowOff>
    </xdr:from>
    <xdr:ext cx="340093" cy="172227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07270" y="650388"/>
          <a:ext cx="340093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s-CO" sz="1100"/>
            <a:t>   b = </a:t>
          </a:r>
        </a:p>
      </xdr:txBody>
    </xdr:sp>
    <xdr:clientData/>
  </xdr:oneCellAnchor>
  <xdr:oneCellAnchor>
    <xdr:from>
      <xdr:col>5</xdr:col>
      <xdr:colOff>142790</xdr:colOff>
      <xdr:row>0</xdr:row>
      <xdr:rowOff>1998</xdr:rowOff>
    </xdr:from>
    <xdr:ext cx="2112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249970" y="1998"/>
              <a:ext cx="2112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∑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828778FD-3A53-4BB2-A147-ECF4E8C1435D}"/>
                </a:ext>
              </a:extLst>
            </xdr:cNvPr>
            <xdr:cNvSpPr txBox="1"/>
          </xdr:nvSpPr>
          <xdr:spPr>
            <a:xfrm>
              <a:off x="4249970" y="1998"/>
              <a:ext cx="2112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114307</xdr:colOff>
      <xdr:row>0</xdr:row>
      <xdr:rowOff>1998</xdr:rowOff>
    </xdr:from>
    <xdr:ext cx="2132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754887" y="1998"/>
              <a:ext cx="2132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∑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5EDF290-808A-4362-86C1-02A46DB730B9}"/>
                </a:ext>
              </a:extLst>
            </xdr:cNvPr>
            <xdr:cNvSpPr txBox="1"/>
          </xdr:nvSpPr>
          <xdr:spPr>
            <a:xfrm>
              <a:off x="4754887" y="1998"/>
              <a:ext cx="2132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7</xdr:col>
      <xdr:colOff>184084</xdr:colOff>
      <xdr:row>0</xdr:row>
      <xdr:rowOff>26070</xdr:rowOff>
    </xdr:from>
    <xdr:ext cx="1738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5358064" y="26070"/>
              <a:ext cx="1738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𝒩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B13493C-FA27-4A86-B8EC-D08A340DB523}"/>
                </a:ext>
              </a:extLst>
            </xdr:cNvPr>
            <xdr:cNvSpPr txBox="1"/>
          </xdr:nvSpPr>
          <xdr:spPr>
            <a:xfrm>
              <a:off x="5358064" y="26070"/>
              <a:ext cx="1738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𝒩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7</xdr:col>
      <xdr:colOff>282748</xdr:colOff>
      <xdr:row>0</xdr:row>
      <xdr:rowOff>1998</xdr:rowOff>
    </xdr:from>
    <xdr:ext cx="65" cy="172227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456728" y="199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6420</xdr:colOff>
      <xdr:row>0</xdr:row>
      <xdr:rowOff>1998</xdr:rowOff>
    </xdr:from>
    <xdr:ext cx="53700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5713800" y="1998"/>
              <a:ext cx="5370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∑</m:t>
                    </m:r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𝑋𝑖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∗</m:t>
                    </m:r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𝑌𝑖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A232879-E159-4D32-B7E9-D9739D8E0746}"/>
                </a:ext>
              </a:extLst>
            </xdr:cNvPr>
            <xdr:cNvSpPr txBox="1"/>
          </xdr:nvSpPr>
          <xdr:spPr>
            <a:xfrm>
              <a:off x="5713800" y="1998"/>
              <a:ext cx="5370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∑𝑋𝑖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𝑌𝑖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80216</xdr:colOff>
      <xdr:row>0</xdr:row>
      <xdr:rowOff>0</xdr:rowOff>
    </xdr:from>
    <xdr:ext cx="304800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6320996" y="0"/>
              <a:ext cx="30480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∑</m:t>
                        </m:r>
                        <m:r>
                          <a:rPr lang="es-CO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6C34EA6-948F-4BC5-A139-9D7945F05DC0}"/>
                </a:ext>
              </a:extLst>
            </xdr:cNvPr>
            <xdr:cNvSpPr txBox="1"/>
          </xdr:nvSpPr>
          <xdr:spPr>
            <a:xfrm>
              <a:off x="6320996" y="0"/>
              <a:ext cx="30480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〖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CO" sz="1100" i="0">
                  <a:latin typeface="Cambria Math" panose="02040503050406030204" pitchFamily="18" charset="0"/>
                </a:rPr>
                <a:t>𝑥〗^2</a:t>
              </a:r>
              <a:endParaRPr lang="es-CO" sz="1100"/>
            </a:p>
          </xdr:txBody>
        </xdr:sp>
      </mc:Fallback>
    </mc:AlternateContent>
    <xdr:clientData/>
  </xdr:oneCellAnchor>
  <xdr:twoCellAnchor>
    <xdr:from>
      <xdr:col>1</xdr:col>
      <xdr:colOff>47625</xdr:colOff>
      <xdr:row>4</xdr:row>
      <xdr:rowOff>9525</xdr:rowOff>
    </xdr:from>
    <xdr:to>
      <xdr:col>3</xdr:col>
      <xdr:colOff>339725</xdr:colOff>
      <xdr:row>4</xdr:row>
      <xdr:rowOff>9525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612775" y="746125"/>
          <a:ext cx="1879600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0</xdr:colOff>
      <xdr:row>7</xdr:row>
      <xdr:rowOff>128336</xdr:rowOff>
    </xdr:from>
    <xdr:ext cx="2623410" cy="968983"/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795337" y="1419725"/>
          <a:ext cx="2623410" cy="96898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28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Regresión</a:t>
          </a:r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Lineal</a:t>
          </a:r>
        </a:p>
        <a:p>
          <a:pPr algn="ctr"/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outerShdw dist="38100" dir="2640000" algn="bl" rotWithShape="0">
                  <a:schemeClr val="accent1"/>
                </a:outerShdw>
              </a:effectLst>
            </a:rPr>
            <a:t>Simple</a:t>
          </a:r>
          <a:endParaRPr lang="es-ES" sz="2800" b="1" cap="none" spc="0">
            <a:ln w="12700">
              <a:solidFill>
                <a:schemeClr val="accent1"/>
              </a:solidFill>
              <a:prstDash val="solid"/>
            </a:ln>
            <a:solidFill>
              <a:srgbClr val="FF0000"/>
            </a:solid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282748</xdr:colOff>
      <xdr:row>0</xdr:row>
      <xdr:rowOff>1998</xdr:rowOff>
    </xdr:from>
    <xdr:ext cx="65" cy="172227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138468" y="199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</xdr:col>
      <xdr:colOff>98669</xdr:colOff>
      <xdr:row>3</xdr:row>
      <xdr:rowOff>1998</xdr:rowOff>
    </xdr:from>
    <xdr:ext cx="3758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2887589" y="550638"/>
              <a:ext cx="3758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s-CO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∑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</m:t>
                  </m:r>
                </m:oMath>
              </a14:m>
              <a:r>
                <a:rPr lang="es-CO" sz="1100"/>
                <a:t>/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</m:oMath>
              </a14:m>
              <a:endParaRPr lang="es-CO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6C74972F-0C16-498B-9E2F-2BAE0DCCB7BB}"/>
                </a:ext>
              </a:extLst>
            </xdr:cNvPr>
            <xdr:cNvSpPr txBox="1"/>
          </xdr:nvSpPr>
          <xdr:spPr>
            <a:xfrm>
              <a:off x="2887589" y="550638"/>
              <a:ext cx="3758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/>
                <a:t>/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𝒩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74197</xdr:colOff>
      <xdr:row>3</xdr:row>
      <xdr:rowOff>1998</xdr:rowOff>
    </xdr:from>
    <xdr:ext cx="377796" cy="174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3396517" y="550638"/>
              <a:ext cx="377796" cy="174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s-CO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∑</m:t>
                  </m:r>
                  <m:r>
                    <a:rPr lang="es-CO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𝑦</m:t>
                  </m:r>
                </m:oMath>
              </a14:m>
              <a:r>
                <a:rPr lang="es-CO" sz="1100"/>
                <a:t>/</a:t>
              </a:r>
              <a14:m>
                <m:oMath xmlns:m="http://schemas.openxmlformats.org/officeDocument/2006/math"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𝒩</m:t>
                  </m:r>
                </m:oMath>
              </a14:m>
              <a:endParaRPr lang="es-CO">
                <a:effectLst/>
              </a:endParaRPr>
            </a:p>
            <a:p>
              <a:endParaRPr lang="es-CO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6EC444EE-CCB2-40AA-B113-9C1628425A81}"/>
                </a:ext>
              </a:extLst>
            </xdr:cNvPr>
            <xdr:cNvSpPr txBox="1"/>
          </xdr:nvSpPr>
          <xdr:spPr>
            <a:xfrm>
              <a:off x="3396517" y="550638"/>
              <a:ext cx="377796" cy="174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∑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/>
                <a:t>/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𝒩</a:t>
              </a:r>
              <a:endParaRPr lang="es-CO">
                <a:effectLst/>
              </a:endParaRPr>
            </a:p>
            <a:p>
              <a:pPr/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0</xdr:colOff>
      <xdr:row>7</xdr:row>
      <xdr:rowOff>124326</xdr:rowOff>
    </xdr:from>
    <xdr:ext cx="2623410" cy="968983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795337" y="1423737"/>
          <a:ext cx="2623410" cy="96898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28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Regresión</a:t>
          </a:r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Lineal</a:t>
          </a:r>
        </a:p>
        <a:p>
          <a:pPr algn="ctr"/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outerShdw dist="38100" dir="2640000" algn="bl" rotWithShape="0">
                  <a:schemeClr val="accent1"/>
                </a:outerShdw>
              </a:effectLst>
            </a:rPr>
            <a:t>Simple</a:t>
          </a:r>
          <a:endParaRPr lang="es-ES" sz="2800" b="1" cap="none" spc="0">
            <a:ln w="12700">
              <a:solidFill>
                <a:schemeClr val="accent1"/>
              </a:solidFill>
              <a:prstDash val="solid"/>
            </a:ln>
            <a:solidFill>
              <a:srgbClr val="FF0000"/>
            </a:solid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282748</xdr:colOff>
      <xdr:row>0</xdr:row>
      <xdr:rowOff>1998</xdr:rowOff>
    </xdr:from>
    <xdr:ext cx="65" cy="172227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4138468" y="199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</xdr:col>
      <xdr:colOff>0</xdr:colOff>
      <xdr:row>7</xdr:row>
      <xdr:rowOff>124319</xdr:rowOff>
    </xdr:from>
    <xdr:ext cx="2623410" cy="968983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795337" y="1423730"/>
          <a:ext cx="2623410" cy="96898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28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Regresión</a:t>
          </a:r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Lineal</a:t>
          </a:r>
        </a:p>
        <a:p>
          <a:pPr algn="ctr"/>
          <a:r>
            <a:rPr lang="es-ES" sz="2800" b="1" cap="none" spc="0" baseline="0">
              <a:ln w="12700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outerShdw dist="38100" dir="2640000" algn="bl" rotWithShape="0">
                  <a:schemeClr val="accent1"/>
                </a:outerShdw>
              </a:effectLst>
            </a:rPr>
            <a:t>Simple</a:t>
          </a:r>
          <a:endParaRPr lang="es-ES" sz="2800" b="1" cap="none" spc="0">
            <a:ln w="12700">
              <a:solidFill>
                <a:schemeClr val="accent1"/>
              </a:solidFill>
              <a:prstDash val="solid"/>
            </a:ln>
            <a:solidFill>
              <a:srgbClr val="FF0000"/>
            </a:solid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2F5F02-30E1-4496-BE4C-6F407A85BD4B}" name="Tabla1" displayName="Tabla1" ref="B3:E10" totalsRowCount="1" headerRowDxfId="10" dataDxfId="9" totalsRowDxfId="8">
  <autoFilter ref="B3:E9" xr:uid="{FA2F5F02-30E1-4496-BE4C-6F407A85BD4B}">
    <filterColumn colId="0" hiddenButton="1"/>
    <filterColumn colId="1" hiddenButton="1"/>
    <filterColumn colId="2" hiddenButton="1"/>
    <filterColumn colId="3" hiddenButton="1"/>
  </autoFilter>
  <tableColumns count="4">
    <tableColumn id="1" xr3:uid="{E2928C55-EED2-4ADD-A1CD-BC3199454A40}" name="Edad(x)" totalsRowFunction="sum" dataDxfId="7" totalsRowDxfId="4"/>
    <tableColumn id="3" xr3:uid="{70086AAE-1FB2-4E4D-BB42-828FDBB8BF3B}" name="Estancia(Y)" totalsRowFunction="sum" dataDxfId="6" totalsRowDxfId="3"/>
    <tableColumn id="4" xr3:uid="{28E6DA74-633C-4F8B-9F54-FBED8FDBA3B8}" name="Xi * Yi" totalsRowFunction="sum" dataDxfId="5" totalsRowDxfId="2">
      <calculatedColumnFormula>Tabla1[[#This Row],[Edad(x)]]*C4</calculatedColumnFormula>
    </tableColumn>
    <tableColumn id="2" xr3:uid="{E8300A8B-0B23-48B8-B698-6F8714D26F4C}" name="X2" totalsRowFunction="sum" dataDxfId="0" totalsRowDxfId="1">
      <calculatedColumnFormula>POWER(Tabla1[[#This Row],[Edad(x)]],2)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14D34-1D8B-4F96-A8D5-8B9FEEF09DDA}">
  <sheetPr codeName="Hoja1"/>
  <dimension ref="A1:K13"/>
  <sheetViews>
    <sheetView showGridLines="0" zoomScale="200" zoomScaleNormal="200" workbookViewId="0">
      <selection activeCell="D14" sqref="D14"/>
    </sheetView>
  </sheetViews>
  <sheetFormatPr baseColWidth="10" defaultRowHeight="14.4" x14ac:dyDescent="0.3"/>
  <cols>
    <col min="6" max="6" width="2.109375" customWidth="1"/>
    <col min="7" max="11" width="7.77734375" customWidth="1"/>
  </cols>
  <sheetData>
    <row r="1" spans="1:11" ht="14.4" customHeight="1" x14ac:dyDescent="0.3">
      <c r="A1" s="28" t="s">
        <v>2</v>
      </c>
      <c r="B1" s="28"/>
      <c r="C1" s="28"/>
      <c r="D1" s="28"/>
      <c r="E1" s="28"/>
      <c r="G1" s="8"/>
      <c r="H1" s="8"/>
      <c r="I1" s="8"/>
      <c r="J1" s="8"/>
      <c r="K1" s="8"/>
    </row>
    <row r="2" spans="1:11" ht="14.4" customHeight="1" x14ac:dyDescent="0.3">
      <c r="A2" s="28"/>
      <c r="B2" s="28"/>
      <c r="C2" s="28"/>
      <c r="D2" s="28"/>
      <c r="E2" s="28"/>
      <c r="G2" s="7">
        <f>Tabla1[[#Totals],[Edad(x)]]</f>
        <v>135</v>
      </c>
      <c r="H2" s="7">
        <f>Tabla1[[#Totals],[Estancia(Y)]]</f>
        <v>25.5</v>
      </c>
      <c r="I2" s="7">
        <f>A10</f>
        <v>6</v>
      </c>
      <c r="J2" s="7">
        <f>Tabla1[[#Totals],[Xi * Yi]]</f>
        <v>635.5</v>
      </c>
      <c r="K2" s="11">
        <f>Tabla1[[#Totals],[X2]]</f>
        <v>3475</v>
      </c>
    </row>
    <row r="3" spans="1:11" ht="16.8" x14ac:dyDescent="0.35">
      <c r="A3" s="1" t="s">
        <v>3</v>
      </c>
      <c r="B3" s="2" t="s">
        <v>0</v>
      </c>
      <c r="C3" s="2" t="s">
        <v>1</v>
      </c>
      <c r="D3" s="2" t="s">
        <v>4</v>
      </c>
      <c r="E3" s="2" t="s">
        <v>5</v>
      </c>
    </row>
    <row r="4" spans="1:11" x14ac:dyDescent="0.3">
      <c r="A4" s="3">
        <v>1</v>
      </c>
      <c r="B4" s="2">
        <v>10</v>
      </c>
      <c r="C4" s="2">
        <v>2.6</v>
      </c>
      <c r="D4" s="4">
        <f>Tabla1[[#This Row],[Edad(x)]]*C4</f>
        <v>26</v>
      </c>
      <c r="E4" s="2">
        <f>POWER(Tabla1[[#This Row],[Edad(x)]],2)</f>
        <v>100</v>
      </c>
      <c r="G4" s="8"/>
      <c r="H4" s="8"/>
    </row>
    <row r="5" spans="1:11" x14ac:dyDescent="0.3">
      <c r="A5" s="2">
        <v>2</v>
      </c>
      <c r="B5" s="2">
        <v>15</v>
      </c>
      <c r="C5" s="2">
        <v>3.1</v>
      </c>
      <c r="D5" s="4">
        <f>Tabla1[[#This Row],[Edad(x)]]*C5</f>
        <v>46.5</v>
      </c>
      <c r="E5" s="2">
        <f>POWER(Tabla1[[#This Row],[Edad(x)]],2)</f>
        <v>225</v>
      </c>
      <c r="G5" s="7">
        <f>G2/I2</f>
        <v>22.5</v>
      </c>
      <c r="H5" s="7">
        <f>H2/I2</f>
        <v>4.25</v>
      </c>
    </row>
    <row r="6" spans="1:11" x14ac:dyDescent="0.3">
      <c r="A6" s="3">
        <v>3</v>
      </c>
      <c r="B6" s="2">
        <v>20</v>
      </c>
      <c r="C6" s="5">
        <v>4</v>
      </c>
      <c r="D6" s="4">
        <f>Tabla1[[#This Row],[Edad(x)]]*C6</f>
        <v>80</v>
      </c>
      <c r="E6" s="2">
        <f>POWER(Tabla1[[#This Row],[Edad(x)]],2)</f>
        <v>400</v>
      </c>
    </row>
    <row r="7" spans="1:11" x14ac:dyDescent="0.3">
      <c r="A7" s="2">
        <v>4</v>
      </c>
      <c r="B7" s="2">
        <v>25</v>
      </c>
      <c r="C7" s="2">
        <v>4.3</v>
      </c>
      <c r="D7" s="4">
        <f>Tabla1[[#This Row],[Edad(x)]]*C7</f>
        <v>107.5</v>
      </c>
      <c r="E7" s="2">
        <f>POWER(Tabla1[[#This Row],[Edad(x)]],2)</f>
        <v>625</v>
      </c>
    </row>
    <row r="8" spans="1:11" x14ac:dyDescent="0.3">
      <c r="A8" s="3">
        <v>5</v>
      </c>
      <c r="B8" s="2">
        <v>30</v>
      </c>
      <c r="C8" s="2">
        <v>5.4</v>
      </c>
      <c r="D8" s="4">
        <f>Tabla1[[#This Row],[Edad(x)]]*C8</f>
        <v>162</v>
      </c>
      <c r="E8" s="2">
        <f>POWER(Tabla1[[#This Row],[Edad(x)]],2)</f>
        <v>900</v>
      </c>
    </row>
    <row r="9" spans="1:11" x14ac:dyDescent="0.3">
      <c r="A9" s="2">
        <v>6</v>
      </c>
      <c r="B9" s="2">
        <v>35</v>
      </c>
      <c r="C9" s="2">
        <v>6.1</v>
      </c>
      <c r="D9" s="4">
        <f>Tabla1[[#This Row],[Edad(x)]]*C9</f>
        <v>213.5</v>
      </c>
      <c r="E9" s="2">
        <f>POWER(Tabla1[[#This Row],[Edad(x)]],2)</f>
        <v>1225</v>
      </c>
    </row>
    <row r="10" spans="1:11" x14ac:dyDescent="0.3">
      <c r="A10" s="6">
        <f>COUNT(A4:A9)</f>
        <v>6</v>
      </c>
      <c r="B10" s="6">
        <f>SUBTOTAL(109,Tabla1[Edad(x)])</f>
        <v>135</v>
      </c>
      <c r="C10" s="6">
        <f>SUBTOTAL(109,Tabla1[Estancia(Y)])</f>
        <v>25.5</v>
      </c>
      <c r="D10" s="6">
        <f>SUBTOTAL(109,Tabla1[Xi * Yi])</f>
        <v>635.5</v>
      </c>
      <c r="E10" s="10">
        <f>SUBTOTAL(109,Tabla1[X2])</f>
        <v>3475</v>
      </c>
    </row>
    <row r="13" spans="1:11" x14ac:dyDescent="0.3">
      <c r="G13" s="9"/>
    </row>
  </sheetData>
  <mergeCells count="1">
    <mergeCell ref="A1:E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ClearCells">
          <controlPr defaultSize="0" autoLine="0" r:id="rId5">
            <anchor moveWithCells="1">
              <from>
                <xdr:col>9</xdr:col>
                <xdr:colOff>7620</xdr:colOff>
                <xdr:row>3</xdr:row>
                <xdr:rowOff>15240</xdr:rowOff>
              </from>
              <to>
                <xdr:col>10</xdr:col>
                <xdr:colOff>525780</xdr:colOff>
                <xdr:row>5</xdr:row>
                <xdr:rowOff>7620</xdr:rowOff>
              </to>
            </anchor>
          </controlPr>
        </control>
      </mc:Choice>
      <mc:Fallback>
        <control shapeId="1026" r:id="rId4" name="btnClearCells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02E9A-FD2F-4090-877F-8E21253AEEFB}">
  <sheetPr codeName="Hoja2"/>
  <dimension ref="A1:J13"/>
  <sheetViews>
    <sheetView showGridLines="0" zoomScale="190" zoomScaleNormal="190" workbookViewId="0">
      <selection activeCell="C10" sqref="C10:C11"/>
    </sheetView>
  </sheetViews>
  <sheetFormatPr baseColWidth="10" defaultRowHeight="14.4" x14ac:dyDescent="0.3"/>
  <cols>
    <col min="1" max="1" width="8.21875" customWidth="1"/>
    <col min="4" max="4" width="6.77734375" customWidth="1"/>
    <col min="5" max="5" width="2.5546875" customWidth="1"/>
    <col min="6" max="11" width="7.77734375" customWidth="1"/>
  </cols>
  <sheetData>
    <row r="1" spans="1:10" x14ac:dyDescent="0.3">
      <c r="A1" s="29" t="s">
        <v>6</v>
      </c>
      <c r="B1" s="30"/>
      <c r="C1" s="30"/>
      <c r="D1" s="31"/>
      <c r="F1" s="8"/>
      <c r="G1" s="8"/>
      <c r="H1" s="8"/>
      <c r="I1" s="8"/>
      <c r="J1" s="8"/>
    </row>
    <row r="2" spans="1:10" x14ac:dyDescent="0.3">
      <c r="A2" s="32"/>
      <c r="B2" s="33"/>
      <c r="C2" s="33"/>
      <c r="D2" s="34"/>
      <c r="F2" s="7">
        <f>DATOS!G2</f>
        <v>135</v>
      </c>
      <c r="G2" s="7">
        <f>DATOS!H2</f>
        <v>25.5</v>
      </c>
      <c r="H2" s="7">
        <v>6</v>
      </c>
      <c r="I2" s="7">
        <f>DATOS!J2</f>
        <v>635.5</v>
      </c>
      <c r="J2" s="11">
        <f>DATOS!K2</f>
        <v>3475</v>
      </c>
    </row>
    <row r="3" spans="1:10" x14ac:dyDescent="0.3">
      <c r="A3" s="12"/>
      <c r="D3" s="13"/>
    </row>
    <row r="4" spans="1:10" x14ac:dyDescent="0.3">
      <c r="A4" s="37"/>
      <c r="B4" s="38"/>
      <c r="C4" s="38"/>
      <c r="D4" s="39"/>
    </row>
    <row r="5" spans="1:10" x14ac:dyDescent="0.3">
      <c r="A5" s="40"/>
      <c r="B5" s="41"/>
      <c r="C5" s="41"/>
      <c r="D5" s="42"/>
    </row>
    <row r="6" spans="1:10" x14ac:dyDescent="0.3">
      <c r="A6" s="12"/>
      <c r="D6" s="13"/>
    </row>
    <row r="7" spans="1:10" x14ac:dyDescent="0.3">
      <c r="A7" s="12"/>
      <c r="B7" s="18" t="s">
        <v>8</v>
      </c>
      <c r="C7" s="26">
        <f>H2*I2-F2*G2</f>
        <v>370.5</v>
      </c>
      <c r="D7" s="13"/>
    </row>
    <row r="8" spans="1:10" x14ac:dyDescent="0.3">
      <c r="A8" s="12"/>
      <c r="B8" s="18" t="s">
        <v>9</v>
      </c>
      <c r="C8" s="20">
        <f>H2*J2-POWER(F2,2)</f>
        <v>2625</v>
      </c>
      <c r="D8" s="13"/>
    </row>
    <row r="9" spans="1:10" x14ac:dyDescent="0.3">
      <c r="A9" s="12"/>
      <c r="D9" s="13"/>
    </row>
    <row r="10" spans="1:10" x14ac:dyDescent="0.3">
      <c r="A10" s="12"/>
      <c r="B10" s="35" t="s">
        <v>7</v>
      </c>
      <c r="C10" s="36">
        <f>IF(C8=0,0,C7/C8)</f>
        <v>0.14114285714285715</v>
      </c>
      <c r="D10" s="13"/>
    </row>
    <row r="11" spans="1:10" x14ac:dyDescent="0.3">
      <c r="A11" s="12"/>
      <c r="B11" s="35"/>
      <c r="C11" s="36"/>
      <c r="D11" s="13"/>
    </row>
    <row r="12" spans="1:10" x14ac:dyDescent="0.3">
      <c r="A12" s="12"/>
      <c r="D12" s="13"/>
    </row>
    <row r="13" spans="1:10" x14ac:dyDescent="0.3">
      <c r="A13" s="15"/>
      <c r="B13" s="16"/>
      <c r="C13" s="16"/>
      <c r="D13" s="17"/>
    </row>
  </sheetData>
  <mergeCells count="4">
    <mergeCell ref="A1:D2"/>
    <mergeCell ref="B10:B11"/>
    <mergeCell ref="C10:C11"/>
    <mergeCell ref="A4:D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44C6D-B35F-48C5-AA86-8DA1F1D2CC87}">
  <sheetPr codeName="Hoja3"/>
  <dimension ref="A1:G13"/>
  <sheetViews>
    <sheetView showGridLines="0" zoomScale="190" zoomScaleNormal="190" workbookViewId="0">
      <selection activeCell="C13" sqref="C13"/>
    </sheetView>
  </sheetViews>
  <sheetFormatPr baseColWidth="10" defaultRowHeight="14.4" x14ac:dyDescent="0.3"/>
  <cols>
    <col min="1" max="1" width="8.21875" customWidth="1"/>
    <col min="4" max="4" width="6.77734375" customWidth="1"/>
    <col min="5" max="5" width="2.5546875" customWidth="1"/>
    <col min="6" max="11" width="7.77734375" customWidth="1"/>
  </cols>
  <sheetData>
    <row r="1" spans="1:7" x14ac:dyDescent="0.3">
      <c r="A1" s="29" t="s">
        <v>10</v>
      </c>
      <c r="B1" s="30"/>
      <c r="C1" s="30"/>
      <c r="D1" s="31"/>
    </row>
    <row r="2" spans="1:7" x14ac:dyDescent="0.3">
      <c r="A2" s="32"/>
      <c r="B2" s="33"/>
      <c r="C2" s="33"/>
      <c r="D2" s="34"/>
    </row>
    <row r="3" spans="1:7" x14ac:dyDescent="0.3">
      <c r="A3" s="12"/>
      <c r="D3" s="13"/>
    </row>
    <row r="4" spans="1:7" ht="15" customHeight="1" x14ac:dyDescent="0.3">
      <c r="A4" s="14"/>
      <c r="B4" s="43" t="s">
        <v>15</v>
      </c>
      <c r="C4" s="43"/>
      <c r="D4" s="13"/>
      <c r="F4" s="8"/>
      <c r="G4" s="8"/>
    </row>
    <row r="5" spans="1:7" ht="14.4" customHeight="1" x14ac:dyDescent="0.3">
      <c r="A5" s="12"/>
      <c r="B5" s="43"/>
      <c r="C5" s="43"/>
      <c r="D5" s="13"/>
      <c r="F5" s="7">
        <f>DATOS!G5</f>
        <v>22.5</v>
      </c>
      <c r="G5" s="7">
        <f>DATOS!H5</f>
        <v>4.25</v>
      </c>
    </row>
    <row r="6" spans="1:7" x14ac:dyDescent="0.3">
      <c r="A6" s="12"/>
      <c r="D6" s="13"/>
    </row>
    <row r="7" spans="1:7" x14ac:dyDescent="0.3">
      <c r="A7" s="12"/>
      <c r="B7" s="18" t="s">
        <v>11</v>
      </c>
      <c r="C7" s="23">
        <f>G5</f>
        <v>4.25</v>
      </c>
      <c r="D7" s="13"/>
    </row>
    <row r="8" spans="1:7" x14ac:dyDescent="0.3">
      <c r="A8" s="12"/>
      <c r="B8" s="18" t="s">
        <v>12</v>
      </c>
      <c r="C8" s="24">
        <f>PENDIENTE!C10</f>
        <v>0.14114285714285715</v>
      </c>
      <c r="D8" s="13"/>
    </row>
    <row r="9" spans="1:7" ht="15" x14ac:dyDescent="0.3">
      <c r="A9" s="12"/>
      <c r="B9" s="27" t="s">
        <v>14</v>
      </c>
      <c r="C9" s="25">
        <f>F5</f>
        <v>22.5</v>
      </c>
      <c r="D9" s="13"/>
    </row>
    <row r="10" spans="1:7" x14ac:dyDescent="0.3">
      <c r="A10" s="12"/>
      <c r="D10" s="13"/>
    </row>
    <row r="11" spans="1:7" x14ac:dyDescent="0.3">
      <c r="A11" s="12"/>
      <c r="B11" s="35" t="s">
        <v>13</v>
      </c>
      <c r="C11" s="36">
        <f>C7-C8*C9</f>
        <v>1.0742857142857138</v>
      </c>
      <c r="D11" s="13"/>
    </row>
    <row r="12" spans="1:7" x14ac:dyDescent="0.3">
      <c r="A12" s="12"/>
      <c r="B12" s="35"/>
      <c r="C12" s="36"/>
      <c r="D12" s="13"/>
    </row>
    <row r="13" spans="1:7" x14ac:dyDescent="0.3">
      <c r="A13" s="15"/>
      <c r="B13" s="16"/>
      <c r="C13" s="16"/>
      <c r="D13" s="17"/>
    </row>
  </sheetData>
  <mergeCells count="4">
    <mergeCell ref="A1:D2"/>
    <mergeCell ref="B4:C5"/>
    <mergeCell ref="B11:B12"/>
    <mergeCell ref="C11:C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80FE-6D75-4F2B-85BF-1CD7CF0E729D}">
  <sheetPr codeName="Hoja4"/>
  <dimension ref="A1:J13"/>
  <sheetViews>
    <sheetView showGridLines="0" tabSelected="1" zoomScale="190" zoomScaleNormal="190" workbookViewId="0">
      <selection activeCell="F7" sqref="F7"/>
    </sheetView>
  </sheetViews>
  <sheetFormatPr baseColWidth="10" defaultRowHeight="14.4" x14ac:dyDescent="0.3"/>
  <cols>
    <col min="1" max="1" width="8.21875" customWidth="1"/>
    <col min="4" max="4" width="6.77734375" customWidth="1"/>
    <col min="5" max="5" width="2.5546875" customWidth="1"/>
    <col min="6" max="11" width="7.77734375" customWidth="1"/>
  </cols>
  <sheetData>
    <row r="1" spans="1:10" x14ac:dyDescent="0.3">
      <c r="A1" s="29" t="s">
        <v>16</v>
      </c>
      <c r="B1" s="30"/>
      <c r="C1" s="30"/>
      <c r="D1" s="31"/>
    </row>
    <row r="2" spans="1:10" x14ac:dyDescent="0.3">
      <c r="A2" s="32"/>
      <c r="B2" s="33"/>
      <c r="C2" s="33"/>
      <c r="D2" s="34"/>
    </row>
    <row r="3" spans="1:10" x14ac:dyDescent="0.3">
      <c r="A3" s="12"/>
      <c r="D3" s="13"/>
    </row>
    <row r="4" spans="1:10" ht="15" customHeight="1" x14ac:dyDescent="0.3">
      <c r="A4" s="14"/>
      <c r="B4" s="46" t="s">
        <v>22</v>
      </c>
      <c r="C4" s="46"/>
      <c r="D4" s="13"/>
      <c r="F4" s="44" t="s">
        <v>21</v>
      </c>
      <c r="G4" s="45"/>
      <c r="H4" s="45"/>
      <c r="I4" s="45"/>
      <c r="J4" s="45"/>
    </row>
    <row r="5" spans="1:10" x14ac:dyDescent="0.3">
      <c r="A5" s="12"/>
      <c r="B5" s="46"/>
      <c r="C5" s="46"/>
      <c r="D5" s="13"/>
      <c r="F5" s="45"/>
      <c r="G5" s="45"/>
      <c r="H5" s="45"/>
      <c r="I5" s="45"/>
      <c r="J5" s="45"/>
    </row>
    <row r="6" spans="1:10" x14ac:dyDescent="0.3">
      <c r="A6" s="12"/>
      <c r="D6" s="13"/>
    </row>
    <row r="7" spans="1:10" x14ac:dyDescent="0.3">
      <c r="B7" s="19" t="s">
        <v>17</v>
      </c>
      <c r="C7" s="21">
        <f>INTERCEPTO!C8</f>
        <v>0.14114285714285715</v>
      </c>
      <c r="D7" s="13"/>
    </row>
    <row r="8" spans="1:10" x14ac:dyDescent="0.3">
      <c r="B8" s="19" t="s">
        <v>18</v>
      </c>
      <c r="C8" s="21">
        <f>INTERCEPTO!C11</f>
        <v>1.0742857142857138</v>
      </c>
      <c r="D8" s="13"/>
    </row>
    <row r="9" spans="1:10" x14ac:dyDescent="0.3">
      <c r="B9" s="19" t="s">
        <v>19</v>
      </c>
      <c r="C9" s="22">
        <v>33</v>
      </c>
      <c r="D9" s="13"/>
    </row>
    <row r="10" spans="1:10" x14ac:dyDescent="0.3">
      <c r="B10" s="47"/>
      <c r="C10" s="47"/>
      <c r="D10" s="13"/>
    </row>
    <row r="11" spans="1:10" ht="14.4" customHeight="1" x14ac:dyDescent="0.3">
      <c r="B11" s="35" t="s">
        <v>20</v>
      </c>
      <c r="C11" s="48">
        <f>C7*C9+C8</f>
        <v>5.7320000000000002</v>
      </c>
      <c r="D11" s="13"/>
    </row>
    <row r="12" spans="1:10" ht="14.4" customHeight="1" x14ac:dyDescent="0.3">
      <c r="B12" s="35"/>
      <c r="C12" s="49"/>
      <c r="D12" s="13"/>
    </row>
    <row r="13" spans="1:10" x14ac:dyDescent="0.3">
      <c r="A13" s="15"/>
      <c r="B13" s="16"/>
      <c r="C13" s="16"/>
      <c r="D13" s="17"/>
    </row>
  </sheetData>
  <mergeCells count="6">
    <mergeCell ref="F4:J5"/>
    <mergeCell ref="A1:D2"/>
    <mergeCell ref="B4:C5"/>
    <mergeCell ref="B11:B12"/>
    <mergeCell ref="B10:C10"/>
    <mergeCell ref="C11:C1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PENDIENTE</vt:lpstr>
      <vt:lpstr>INTERCEPTO</vt:lpstr>
      <vt:lpstr>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2026-09-24T16:08:45Z</dcterms:created>
  <dcterms:modified xsi:type="dcterms:W3CDTF">2026-10-08T15:35:45Z</dcterms:modified>
</cp:coreProperties>
</file>